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1b35eca69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0cebf78a0ef4b09"/>
    <x:sheet xmlns:r="http://schemas.openxmlformats.org/officeDocument/2006/relationships" name="Unit Economics" sheetId="2" r:id="R64a1a6b75d3c4a7f"/>
    <x:sheet xmlns:r="http://schemas.openxmlformats.org/officeDocument/2006/relationships" name="Assumptions" sheetId="3" r:id="R33def2a4a51c427a"/>
    <x:sheet xmlns:r="http://schemas.openxmlformats.org/officeDocument/2006/relationships" name="Projection" sheetId="4" r:id="R85b8430423a7485f"/>
    <x:sheet xmlns:r="http://schemas.openxmlformats.org/officeDocument/2006/relationships" name="NPV" sheetId="5" r:id="R68a6654ee9384dd7"/>
    <x:sheet xmlns:r="http://schemas.openxmlformats.org/officeDocument/2006/relationships" name="Sources" sheetId="6" r:id="R4b6f22d413ee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[Red](0.0%);-"/>
    <x:numFmt numFmtId="201" formatCode="$#,##0.00;[Red]($#,##0.00);-"/>
    <x:numFmt numFmtId="202" formatCode="@"/>
    <x:numFmt numFmtId="203" formatCode="#,##0;[Red](#,##0);-"/>
    <x:numFmt numFmtId="204" formatCode="0"/>
    <x:numFmt numFmtId="205" formatCode="0.000x"/>
    <x:numFmt numFmtId="206" formatCode="0.0x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65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6">
    <x:border/>
    <x:border/>
    <x:border>
      <x:bottom style="thin">
        <x:color rgb="FF7F8C8D"/>
      </x:bottom>
    </x:border>
    <x:border>
      <x:bottom style="thin">
        <x:color rgb="FF7F8C8D"/>
      </x:bottom>
    </x:border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202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2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1" fontId="5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1" xfId="0" applyNumberFormat="1" applyFont="1" applyFill="1" applyBorder="1"/>
    <x:xf numFmtId="201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3" fontId="2" fillId="0" borderId="4" xfId="0" applyNumberFormat="1" applyFont="1" applyFill="1" applyBorder="1"/>
    <x:xf numFmtId="203" fontId="2" fillId="0" borderId="5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201" fontId="2" fillId="0" borderId="4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wrapText="1"/>
    </x:xf>
    <x:xf numFmtId="203" fontId="2" fillId="0" borderId="4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201" fontId="2" fillId="0" borderId="5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203" fontId="2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4" xfId="0" applyNumberFormat="1" applyFont="1" applyFill="1" applyBorder="1"/>
    <x:xf numFmtId="201" fontId="5" fillId="0" borderId="4" xfId="0" applyNumberFormat="1" applyFont="1" applyFill="1" applyBorder="1"/>
    <x:xf numFmtId="0" fontId="6" fillId="0" borderId="5" xfId="0" applyNumberFormat="1" applyFont="1" applyFill="1" applyBorder="1"/>
    <x:xf numFmtId="201" fontId="5" fillId="0" borderId="5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left"/>
    </x:xf>
    <x:xf numFmtId="0" fontId="7" fillId="5" borderId="1" xfId="0" applyNumberFormat="1" applyFont="1" applyFill="1" applyBorder="1" applyAlignment="1">
      <x:alignment horizontal="left" vertical="center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20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4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703127ae448c4" /><Relationship Type="http://schemas.openxmlformats.org/officeDocument/2006/relationships/theme" Target="/xl/theme/theme1.xml" Id="R0d8f69e7d5ce4ca8" /><Relationship Type="http://schemas.openxmlformats.org/officeDocument/2006/relationships/sharedStrings" Target="/xl/sharedStrings.xml" Id="R5dc2990beaac4212" /><Relationship Type="http://schemas.openxmlformats.org/officeDocument/2006/relationships/worksheet" Target="/xl/worksheets/sheet1.xml" Id="Rc0cebf78a0ef4b09" /><Relationship Type="http://schemas.openxmlformats.org/officeDocument/2006/relationships/worksheet" Target="/xl/worksheets/sheet2.xml" Id="R64a1a6b75d3c4a7f" /><Relationship Type="http://schemas.openxmlformats.org/officeDocument/2006/relationships/worksheet" Target="/xl/worksheets/sheet3.xml" Id="R33def2a4a51c427a" /><Relationship Type="http://schemas.openxmlformats.org/officeDocument/2006/relationships/worksheet" Target="/xl/worksheets/sheet4.xml" Id="R85b8430423a7485f" /><Relationship Type="http://schemas.openxmlformats.org/officeDocument/2006/relationships/worksheet" Target="/xl/worksheets/sheet5.xml" Id="R68a6654ee9384dd7" /><Relationship Type="http://schemas.openxmlformats.org/officeDocument/2006/relationships/worksheet" Target="/xl/worksheets/sheet6.xml" Id="R4b6f22d413ee41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868097fe074dc0" /><Relationship Type="http://schemas.openxmlformats.org/officeDocument/2006/relationships/chart" Target="/xl/drawings/charts/chart2.xml" Id="R3ac11f106bd646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Contribution by Product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Annual contribution ($)</c:v>
          </c:tx>
          <c:cat>
            <c:strRef>
              <c:f>'Dashboard'!$A$14:$A$20</c:f>
              <c:strCache>
                <c:ptCount val="0"/>
              </c:strCache>
            </c:strRef>
          </c:cat>
          <c:val>
            <c:numRef>
              <c:f>'Dashboard'!$B$14:$B$20</c:f>
              <c:numCache>
                <c:formatCode>$#,##0.00;[Red]($#,##0.00);-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5-Year Free Cash Flow Projection</a:t>
            </a:r>
          </a:p>
        </c:rich>
      </c:tx>
    </c:title>
    <c:plotArea>
      <c:lineChart>
        <c:grouping val="standard"/>
        <c:ser>
          <c:idx val="0"/>
          <c:order val="0"/>
          <c:tx>
            <c:v>Free cash flow ($)</c:v>
          </c:tx>
          <c:marker>
            <c:symbol val="none"/>
          </c:marker>
          <c:cat>
            <c:strRef>
              <c:f>'Dashboard'!$H$41:$H$45</c:f>
              <c:strCache>
                <c:ptCount val="0"/>
              </c:strCache>
            </c:strRef>
          </c:cat>
          <c:val>
            <c:numRef>
              <c:f>'Dashboard'!$I$41:$I$45</c:f>
              <c:numCache>
                <c:formatCode>$#,##0.00;[Red]($#,##0.00);-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868097fe074dc0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c11f106bd646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ffa59430b442a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0" t="str">
        <x:v>BVSRadio — Profitability &amp; Kapitalwert Dashboard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132" t="str">
        <x:v>Key decision outputs</x:v>
      </x:c>
      <x:c r="B3" s="132"/>
      <x:c r="C3" s="30"/>
      <x:c r="D3" s="132" t="str">
        <x:v>$29 Beat Licence — channel economics</x:v>
      </x:c>
      <x:c r="E3" s="132"/>
      <x:c r="F3" s="132"/>
      <x:c r="G3" s="132"/>
      <x:c r="H3" s="30"/>
      <x:c r="I3" s="30"/>
      <x:c r="J3" s="30"/>
    </x:row>
    <x:row r="4">
      <x:c r="A4" s="30" t="str">
        <x:v>5-year NPV / Kapitalwert ($)</x:v>
      </x:c>
      <x:c r="B4" s="79" t="n">
        <x:f>Projection!$B$13</x:f>
        <x:v>191551.11755266512</x:v>
      </x:c>
      <x:c r="C4" s="30"/>
      <x:c r="D4" s="15" t="str">
        <x:v>Channel</x:v>
      </x:c>
      <x:c r="E4" s="15" t="str">
        <x:v>Processor fee ($)</x:v>
      </x:c>
      <x:c r="F4" s="15" t="str">
        <x:v>BVS after-tax contribution ($)</x:v>
      </x:c>
      <x:c r="G4" s="15" t="str">
        <x:v>BVS margin vs checkout</x:v>
      </x:c>
      <x:c r="H4" s="30"/>
      <x:c r="I4" s="30"/>
      <x:c r="J4" s="30"/>
    </x:row>
    <x:row r="5">
      <x:c r="A5" s="30" t="str">
        <x:v>Year 1 product contribution ($)</x:v>
      </x:c>
      <x:c r="B5" s="79" t="n">
        <x:f>Projection!$C$4</x:f>
        <x:v>36340.5</x:v>
      </x:c>
      <x:c r="C5" s="30"/>
      <x:c r="D5" s="30" t="str">
        <x:v>Stripe</x:v>
      </x:c>
      <x:c r="E5" s="79" t="n">
        <x:f>'Unit Economics'!I4</x:f>
        <x:v>1.141</x:v>
      </x:c>
      <x:c r="F5" s="79" t="n">
        <x:f>'Unit Economics'!J4</x:f>
        <x:v>2.9589999999999996</x:v>
      </x:c>
      <x:c r="G5" s="133" t="n">
        <x:f>IFERROR(F5/'Unit Economics'!C4,0)</x:f>
        <x:v>0.10203448275862068</x:v>
      </x:c>
      <x:c r="H5" s="30"/>
      <x:c r="I5" s="30"/>
      <x:c r="J5" s="30"/>
    </x:row>
    <x:row r="6">
      <x:c r="A6" s="30" t="str">
        <x:v>Year 1 free cash flow ($)</x:v>
      </x:c>
      <x:c r="B6" s="79" t="n">
        <x:f>Projection!$C$6</x:f>
        <x:v>33940.5</x:v>
      </x:c>
      <x:c r="C6" s="30"/>
      <x:c r="D6" s="30" t="str">
        <x:v>Paynow Card</x:v>
      </x:c>
      <x:c r="E6" s="79" t="n">
        <x:f>'Unit Economics'!K4</x:f>
        <x:v>1.5150000000000001</x:v>
      </x:c>
      <x:c r="F6" s="79" t="n">
        <x:f>'Unit Economics'!L4</x:f>
        <x:v>2.5849999999999995</x:v>
      </x:c>
      <x:c r="G6" s="133" t="n">
        <x:f>IFERROR(F6/'Unit Economics'!C4,0)</x:f>
        <x:v>0.08913793103448274</x:v>
      </x:c>
      <x:c r="H6" s="30"/>
      <x:c r="I6" s="30"/>
      <x:c r="J6" s="30"/>
    </x:row>
    <x:row r="7">
      <x:c r="A7" s="30" t="str">
        <x:v>Top business-driving product</x:v>
      </x:c>
      <x:c r="B7" s="134" t="str">
        <x:f>INDEX('Unit Economics'!$A$4:$A$10,MATCH(1,'Unit Economics'!$W$4:$W$10,0))</x:f>
        <x:v>Artist Founding Premium — Annual</x:v>
      </x:c>
      <x:c r="C7" s="30"/>
      <x:c r="D7" s="30" t="str">
        <x:v>Paynow Mobile</x:v>
      </x:c>
      <x:c r="E7" s="79" t="n">
        <x:f>'Unit Economics'!M4</x:f>
        <x:v>0.7250000000000001</x:v>
      </x:c>
      <x:c r="F7" s="79" t="n">
        <x:f>'Unit Economics'!N4</x:f>
        <x:v>3.3749999999999996</x:v>
      </x:c>
      <x:c r="G7" s="133" t="n">
        <x:f>IFERROR(F7/'Unit Economics'!C4,0)</x:f>
        <x:v>0.11637931034482757</x:v>
      </x:c>
      <x:c r="H7" s="30"/>
      <x:c r="I7" s="30"/>
      <x:c r="J7" s="30"/>
    </x:row>
    <x:row r="8">
      <x:c r="A8" s="30" t="str">
        <x:v>Top product annual contribution ($)</x:v>
      </x:c>
      <x:c r="B8" s="79" t="n">
        <x:f>MAX('Unit Economics'!$V$4:$V$10)</x:f>
        <x:v>10393.2</x:v>
      </x:c>
      <x:c r="C8" s="30"/>
      <x:c r="D8" s="30"/>
      <x:c r="E8" s="30"/>
      <x:c r="F8" s="30"/>
      <x:c r="G8" s="30"/>
      <x:c r="H8" s="30"/>
      <x:c r="I8" s="30"/>
      <x:c r="J8" s="30"/>
    </x:row>
    <x:row r="9">
      <x:c r="A9" s="30" t="str">
        <x:v>Payment mix check</x:v>
      </x:c>
      <x:c r="B9" s="133" t="n">
        <x:f>Assumptions!$B$24</x:f>
        <x:v>1</x:v>
      </x:c>
      <x:c r="C9" s="30"/>
      <x:c r="D9" s="132" t="str">
        <x:v>Artist economics on $29 Beat Licence</x:v>
      </x:c>
      <x:c r="E9" s="132"/>
      <x:c r="F9" s="132"/>
      <x:c r="G9" s="132"/>
      <x:c r="H9" s="30"/>
      <x:c r="I9" s="30"/>
      <x:c r="J9" s="30"/>
    </x:row>
    <x:row r="10">
      <x:c r="A10" s="30"/>
      <x:c r="B10" s="30"/>
      <x:c r="C10" s="30"/>
      <x:c r="D10" s="15" t="str">
        <x:v>Gross checkout</x:v>
      </x:c>
      <x:c r="E10" s="15" t="str">
        <x:v>15% BVS platform fee</x:v>
      </x:c>
      <x:c r="F10" s="15" t="str">
        <x:v>Artist tax / withholding</x:v>
      </x:c>
      <x:c r="G10" s="15" t="str">
        <x:v>Artist net payout</x:v>
      </x:c>
      <x:c r="H10" s="30"/>
      <x:c r="I10" s="30"/>
      <x:c r="J10" s="30"/>
    </x:row>
    <x:row r="11">
      <x:c r="A11" s="30"/>
      <x:c r="B11" s="30"/>
      <x:c r="C11" s="30"/>
      <x:c r="D11" s="79" t="n">
        <x:f>'Unit Economics'!C4</x:f>
        <x:v>29</x:v>
      </x:c>
      <x:c r="E11" s="79" t="n">
        <x:f>'Unit Economics'!E4</x:f>
        <x:v>4.35</x:v>
      </x:c>
      <x:c r="F11" s="79" t="n">
        <x:f>'Unit Economics'!G4</x:f>
        <x:v>3.6975</x:v>
      </x:c>
      <x:c r="G11" s="79" t="n">
        <x:f>'Unit Economics'!H4</x:f>
        <x:v>20.9525</x:v>
      </x:c>
      <x:c r="H11" s="30"/>
      <x:c r="I11" s="30"/>
      <x:c r="J11" s="30"/>
    </x:row>
    <x:row r="12">
      <x:c r="A12" s="132" t="str">
        <x:v>Business-driver ranking</x:v>
      </x:c>
      <x:c r="B12" s="132"/>
      <x:c r="C12" s="132"/>
      <x:c r="D12" s="132"/>
      <x:c r="E12" s="30"/>
      <x:c r="F12" s="30"/>
      <x:c r="G12" s="30"/>
      <x:c r="H12" s="30"/>
      <x:c r="I12" s="30"/>
      <x:c r="J12" s="30"/>
    </x:row>
    <x:row r="13">
      <x:c r="A13" s="15" t="str">
        <x:v>Product</x:v>
      </x:c>
      <x:c r="B13" s="15" t="str">
        <x:v>Annual contribution ($)</x:v>
      </x:c>
      <x:c r="C13" s="15" t="str">
        <x:v>Margin vs checkout</x:v>
      </x:c>
      <x:c r="D13" s="15" t="str">
        <x:v>Rank</x:v>
      </x:c>
      <x:c r="E13" s="30"/>
      <x:c r="F13" s="132" t="str">
        <x:v>How to use the model</x:v>
      </x:c>
      <x:c r="G13" s="132"/>
      <x:c r="H13" s="132"/>
      <x:c r="I13" s="132"/>
      <x:c r="J13" s="132"/>
    </x:row>
    <x:row r="14">
      <x:c r="A14" s="134" t="str">
        <x:f>'Unit Economics'!A4</x:f>
        <x:v>Beat Licence</x:v>
      </x:c>
      <x:c r="B14" s="79" t="n">
        <x:f>'Unit Economics'!V4</x:f>
        <x:v>2926.56</x:v>
      </x:c>
      <x:c r="C14" s="133" t="n">
        <x:f>'Unit Economics'!S4</x:f>
        <x:v>0.1051206896551724</x:v>
      </x:c>
      <x:c r="D14" s="135" t="n">
        <x:f>'Unit Economics'!W4</x:f>
        <x:v>6</x:v>
      </x:c>
      <x:c r="E14" s="30"/>
      <x:c r="F14" s="126" t="str">
        <x:v>1. Update yellow inputs first: tax, payment mix, OPEX, growth, and units.
2. Beat sales give BVS only the 15% commission, so fixed payment fees hit them hardest.
3. Direct subscriptions/services retain the full checkout value and therefore drive higher contribution margins.
4. Rank products by annual contribution + 5-year PV, not margin % alone; use Paynow Mobile/low-fixed-fee rails for low-ticket sales.</x:v>
      </x:c>
      <x:c r="G14" s="126"/>
      <x:c r="H14" s="126"/>
      <x:c r="I14" s="126"/>
      <x:c r="J14" s="126"/>
    </x:row>
    <x:row r="15">
      <x:c r="A15" s="134" t="str">
        <x:f>'Unit Economics'!A5</x:f>
        <x:v>Artist Founding Premium — Monthly</x:v>
      </x:c>
      <x:c r="B15" s="79" t="n">
        <x:f>'Unit Economics'!V5</x:f>
        <x:v>5917.319999999999</x:v>
      </x:c>
      <x:c r="C15" s="133" t="n">
        <x:f>'Unit Economics'!S5</x:f>
        <x:v>0.9131666666666666</x:v>
      </x:c>
      <x:c r="D15" s="135" t="n">
        <x:f>'Unit Economics'!W5</x:f>
        <x:v>3</x:v>
      </x:c>
      <x:c r="E15" s="30"/>
      <x:c r="F15" s="126"/>
      <x:c r="G15" s="126"/>
      <x:c r="H15" s="126"/>
      <x:c r="I15" s="126"/>
      <x:c r="J15" s="126"/>
    </x:row>
    <x:row r="16">
      <x:c r="A16" s="134" t="str">
        <x:f>'Unit Economics'!A6</x:f>
        <x:v>Artist Founding Premium — Annual</x:v>
      </x:c>
      <x:c r="B16" s="79" t="n">
        <x:f>'Unit Economics'!V6</x:f>
        <x:v>10393.2</x:v>
      </x:c>
      <x:c r="C16" s="133" t="n">
        <x:f>'Unit Economics'!S6</x:f>
        <x:v>0.9623333333333334</x:v>
      </x:c>
      <x:c r="D16" s="135" t="n">
        <x:f>'Unit Economics'!W6</x:f>
        <x:v>1</x:v>
      </x:c>
      <x:c r="E16" s="30"/>
      <x:c r="F16" s="126"/>
      <x:c r="G16" s="126"/>
      <x:c r="H16" s="126"/>
      <x:c r="I16" s="126"/>
      <x:c r="J16" s="126"/>
    </x:row>
    <x:row r="17">
      <x:c r="A17" s="134" t="str">
        <x:f>'Unit Economics'!A7</x:f>
        <x:v>Artist Standard — Monthly</x:v>
      </x:c>
      <x:c r="B17" s="79" t="n">
        <x:f>'Unit Economics'!V7</x:f>
        <x:v>4675.86</x:v>
      </x:c>
      <x:c r="C17" s="133" t="n">
        <x:f>'Unit Economics'!S7</x:f>
        <x:v>0.92775</x:v>
      </x:c>
      <x:c r="D17" s="135" t="n">
        <x:f>'Unit Economics'!W7</x:f>
        <x:v>4</x:v>
      </x:c>
      <x:c r="E17" s="30"/>
      <x:c r="F17" s="126"/>
      <x:c r="G17" s="126"/>
      <x:c r="H17" s="126"/>
      <x:c r="I17" s="126"/>
      <x:c r="J17" s="126"/>
    </x:row>
    <x:row r="18">
      <x:c r="A18" s="134" t="str">
        <x:f>'Unit Economics'!A8</x:f>
        <x:v>Artist Standard — Annual</x:v>
      </x:c>
      <x:c r="B18" s="79" t="n">
        <x:f>'Unit Economics'!V8</x:f>
        <x:v>8334.36</x:v>
      </x:c>
      <x:c r="C18" s="133" t="n">
        <x:f>'Unit Economics'!S8</x:f>
        <x:v>0.9646250000000001</x:v>
      </x:c>
      <x:c r="D18" s="135" t="n">
        <x:f>'Unit Economics'!W8</x:f>
        <x:v>2</x:v>
      </x:c>
      <x:c r="E18" s="30"/>
      <x:c r="F18" s="126"/>
      <x:c r="G18" s="126"/>
      <x:c r="H18" s="126"/>
      <x:c r="I18" s="126"/>
      <x:c r="J18" s="126"/>
    </x:row>
    <x:row r="19">
      <x:c r="A19" s="134" t="str">
        <x:f>'Unit Economics'!A9</x:f>
        <x:v>Professional Audio Service</x:v>
      </x:c>
      <x:c r="B19" s="79" t="n">
        <x:f>'Unit Economics'!V9</x:f>
        <x:v>4093.2000000000003</x:v>
      </x:c>
      <x:c r="C19" s="133" t="n">
        <x:f>'Unit Economics'!S9</x:f>
        <x:v>0.5685</x:v>
      </x:c>
      <x:c r="D19" s="135" t="n">
        <x:f>'Unit Economics'!W9</x:f>
        <x:v>5</x:v>
      </x:c>
      <x:c r="E19" s="30"/>
      <x:c r="F19" s="126"/>
      <x:c r="G19" s="126"/>
      <x:c r="H19" s="126"/>
      <x:c r="I19" s="126"/>
      <x:c r="J19" s="126"/>
    </x:row>
    <x:row r="20">
      <x:c r="A20" s="134" t="str">
        <x:f>'Unit Economics'!A10</x:f>
        <x:v>Producer Store Paid Tier — TBD</x:v>
      </x:c>
      <x:c r="B20" s="79" t="n">
        <x:f>'Unit Economics'!V10</x:f>
        <x:v>0</x:v>
      </x:c>
      <x:c r="C20" s="133" t="n">
        <x:f>'Unit Economics'!S10</x:f>
        <x:v>0</x:v>
      </x:c>
      <x:c r="D20" s="135" t="n">
        <x:f>'Unit Economics'!W10</x:f>
        <x:v>7</x:v>
      </x:c>
      <x:c r="E20" s="30"/>
      <x:c r="F20" s="126"/>
      <x:c r="G20" s="126"/>
      <x:c r="H20" s="126"/>
      <x:c r="I20" s="126"/>
      <x:c r="J20" s="126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</x:row>
    <x:row r="40">
      <x:c r="H40" s="15" t="str">
        <x:v>Year</x:v>
      </x:c>
      <x:c r="I40" s="15" t="str">
        <x:v>Free cash flow ($)</x:v>
      </x:c>
    </x:row>
    <x:row r="41">
      <x:c r="H41" t="str">
        <x:v>Year 1</x:v>
      </x:c>
      <x:c r="I41" s="62" t="n">
        <x:f>Projection!C6</x:f>
        <x:v>33940.5</x:v>
      </x:c>
    </x:row>
    <x:row r="42">
      <x:c r="H42" t="str">
        <x:v>Year 2</x:v>
      </x:c>
      <x:c r="I42" s="62" t="n">
        <x:f>Projection!D6</x:f>
        <x:v>42833.625</x:v>
      </x:c>
    </x:row>
    <x:row r="43">
      <x:c r="H43" t="str">
        <x:v>Year 3</x:v>
      </x:c>
      <x:c r="I43" s="62" t="n">
        <x:f>Projection!E6</x:f>
        <x:v>53982.67125</x:v>
      </x:c>
    </x:row>
    <x:row r="44">
      <x:c r="H44" t="str">
        <x:v>Year 4</x:v>
      </x:c>
      <x:c r="I44" s="62" t="n">
        <x:f>Projection!F6</x:f>
        <x:v>67954.2302625</x:v>
      </x:c>
    </x:row>
    <x:row r="45">
      <x:c r="H45" t="str">
        <x:v>Year 5</x:v>
      </x:c>
      <x:c r="I45" s="62" t="n">
        <x:f>Projection!G6</x:f>
        <x:v>85456.750324125</x:v>
      </x:c>
    </x:row>
  </x:sheetData>
  <x:mergeCells>
    <x:mergeCell ref="A1:J1"/>
    <x:mergeCell ref="A3:B3"/>
    <x:mergeCell ref="D3:G3"/>
    <x:mergeCell ref="D9:G9"/>
    <x:mergeCell ref="A12:D12"/>
    <x:mergeCell ref="F13:J13"/>
    <x:mergeCell ref="F14:J20"/>
  </x:mergeCells>
  <x:conditionalFormatting sqref="B14:B2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effa59430b442a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B14:B20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6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18" hidden="0" customWidth="1"/>
    <x:col min="11" max="11" width="14" hidden="0" customWidth="1"/>
    <x:col min="12" max="12" width="19" hidden="0" customWidth="1"/>
    <x:col min="13" max="13" width="15" hidden="0" customWidth="1"/>
    <x:col min="14" max="14" width="20" hidden="0" customWidth="1"/>
    <x:col min="15" max="15" width="17" hidden="0" customWidth="1"/>
    <x:col min="16" max="16" width="19" hidden="0" customWidth="1"/>
    <x:col min="17" max="17" width="13" hidden="0" customWidth="1"/>
    <x:col min="18" max="18" width="20" hidden="0" customWidth="1"/>
    <x:col min="19" max="19" width="14" hidden="0" customWidth="1"/>
    <x:col min="20" max="20" width="15" hidden="0" customWidth="1"/>
    <x:col min="21" max="21" width="16" hidden="0" customWidth="1"/>
    <x:col min="22" max="22" width="19" hidden="0" customWidth="1"/>
    <x:col min="23" max="23" width="11" hidden="0" customWidth="1"/>
  </x:cols>
  <x:sheetData>
    <x:row r="1">
      <x:c r="A1" s="40" t="str">
        <x:v>BVSRadio Unit Economics — Product &amp; Payment-Channel Profitability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</x:row>
    <x:row r="3">
      <x:c r="A3" s="15" t="str">
        <x:v>Product type</x:v>
      </x:c>
      <x:c r="B3" s="15" t="str">
        <x:v>Revenue model</x:v>
      </x:c>
      <x:c r="C3" s="15" t="str">
        <x:v>Price / checkout ($)</x:v>
      </x:c>
      <x:c r="D3" s="15" t="str">
        <x:v>Variable delivery cost / unit ($)</x:v>
      </x:c>
      <x:c r="E3" s="15" t="str">
        <x:v>BVS gross revenue / unit ($)</x:v>
      </x:c>
      <x:c r="F3" s="15" t="str">
        <x:v>Artist gross share ($)</x:v>
      </x:c>
      <x:c r="G3" s="15" t="str">
        <x:v>Artist tax / withholding ($)</x:v>
      </x:c>
      <x:c r="H3" s="15" t="str">
        <x:v>Artist net payout ($)</x:v>
      </x:c>
      <x:c r="I3" s="15" t="str">
        <x:v>Stripe fee ($)</x:v>
      </x:c>
      <x:c r="J3" s="15" t="str">
        <x:v>BVS contrib. after tax — Stripe ($)</x:v>
      </x:c>
      <x:c r="K3" s="15" t="str">
        <x:v>Paynow Card fee ($)</x:v>
      </x:c>
      <x:c r="L3" s="15" t="str">
        <x:v>BVS contrib. after tax — Paynow Card ($)</x:v>
      </x:c>
      <x:c r="M3" s="15" t="str">
        <x:v>Paynow Mobile fee ($)</x:v>
      </x:c>
      <x:c r="N3" s="15" t="str">
        <x:v>BVS contrib. after tax — Paynow Mobile ($)</x:v>
      </x:c>
      <x:c r="O3" s="15" t="str">
        <x:v>Blended processing fee ($)</x:v>
      </x:c>
      <x:c r="P3" s="15" t="str">
        <x:v>BVS pre-tax contribution / unit ($)</x:v>
      </x:c>
      <x:c r="Q3" s="15" t="str">
        <x:v>BVS tax ($)</x:v>
      </x:c>
      <x:c r="R3" s="15" t="str">
        <x:v>BVS after-tax contribution / unit ($)</x:v>
      </x:c>
      <x:c r="S3" s="15" t="str">
        <x:v>Margin vs checkout</x:v>
      </x:c>
      <x:c r="T3" s="15" t="str">
        <x:v>Margin vs BVS revenue</x:v>
      </x:c>
      <x:c r="U3" s="15" t="str">
        <x:v>Monthly units / paid subs</x:v>
      </x:c>
      <x:c r="V3" s="15" t="str">
        <x:v>Annual contribution ($)</x:v>
      </x:c>
      <x:c r="W3" s="15" t="str">
        <x:v>Driver rank</x:v>
      </x:c>
    </x:row>
    <x:row r="4">
      <x:c r="A4" s="78" t="str">
        <x:v>Beat Licence</x:v>
      </x:c>
      <x:c r="B4" s="78" t="str">
        <x:v>Marketplace</x:v>
      </x:c>
      <x:c r="C4" s="44" t="n">
        <x:v>29</x:v>
      </x:c>
      <x:c r="D4" s="44" t="n">
        <x:v>0.25</x:v>
      </x:c>
      <x:c r="E4" s="79" t="n">
        <x:f>IF(B4="Marketplace",C4*Assumptions!$B$5,C4)</x:f>
        <x:v>4.35</x:v>
      </x:c>
      <x:c r="F4" s="80" t="n">
        <x:f>IF(B4="Marketplace",C4-E4,0)</x:f>
        <x:v>24.65</x:v>
      </x:c>
      <x:c r="G4" s="79" t="n">
        <x:f>F4*Assumptions!$B$6</x:f>
        <x:v>3.6975</x:v>
      </x:c>
      <x:c r="H4" s="80" t="n">
        <x:f>F4-G4</x:f>
        <x:v>20.9525</x:v>
      </x:c>
      <x:c r="I4" s="79" t="n">
        <x:f>IF(C4&gt;0,C4*Assumptions!$B$8+Assumptions!$B$9,0)</x:f>
        <x:v>1.141</x:v>
      </x:c>
      <x:c r="J4" s="79" t="n">
        <x:f>MAX(0,(E4-I4-D4)*(1-Assumptions!$B$7))</x:f>
        <x:v>2.9589999999999996</x:v>
      </x:c>
      <x:c r="K4" s="79" t="n">
        <x:f>IF(C4&gt;0,C4*Assumptions!$B$10+Assumptions!$B$11,0)</x:f>
        <x:v>1.5150000000000001</x:v>
      </x:c>
      <x:c r="L4" s="79" t="n">
        <x:f>MAX(0,(E4-K4-D4)*(1-Assumptions!$B$7))</x:f>
        <x:v>2.5849999999999995</x:v>
      </x:c>
      <x:c r="M4" s="79" t="n">
        <x:f>IF(C4&gt;0,C4*Assumptions!$B$12+Assumptions!$B$13,0)</x:f>
        <x:v>0.7250000000000001</x:v>
      </x:c>
      <x:c r="N4" s="79" t="n">
        <x:f>MAX(0,(E4-M4-D4)*(1-Assumptions!$B$7))</x:f>
        <x:v>3.3749999999999996</x:v>
      </x:c>
      <x:c r="O4" s="79" t="n">
        <x:f>I4*Assumptions!$B$14+K4*Assumptions!$B$15+M4*Assumptions!$B$16</x:f>
        <x:v>1.0514999999999999</x:v>
      </x:c>
      <x:c r="P4" s="80" t="n">
        <x:f>E4-O4-D4</x:f>
        <x:v>3.0484999999999998</x:v>
      </x:c>
      <x:c r="Q4" s="79" t="n">
        <x:f>MAX(0,P4)*Assumptions!$B$7</x:f>
        <x:v>0</x:v>
      </x:c>
      <x:c r="R4" s="80" t="n">
        <x:f>P4-Q4</x:f>
        <x:v>3.0484999999999998</x:v>
      </x:c>
      <x:c r="S4" s="46" t="n">
        <x:f>IFERROR(R4/C4,0)</x:f>
        <x:v>0.1051206896551724</x:v>
      </x:c>
      <x:c r="T4" s="46" t="n">
        <x:f>IFERROR(R4/E4,0)</x:f>
        <x:v>0.7008045977011494</x:v>
      </x:c>
      <x:c r="U4" s="81" t="n">
        <x:v>80</x:v>
      </x:c>
      <x:c r="V4" s="80" t="n">
        <x:f>R4*U4*12</x:f>
        <x:v>2926.56</x:v>
      </x:c>
      <x:c r="W4" s="82" t="n">
        <x:f>RANK(V4,$V$4:$V$10,0)</x:f>
        <x:v>6</x:v>
      </x:c>
    </x:row>
    <x:row r="5">
      <x:c r="A5" s="78" t="str">
        <x:v>Artist Founding Premium — Monthly</x:v>
      </x:c>
      <x:c r="B5" s="78" t="str">
        <x:v>Direct</x:v>
      </x:c>
      <x:c r="C5" s="44" t="n">
        <x:v>9</x:v>
      </x:c>
      <x:c r="D5" s="44" t="n">
        <x:v>0.3</x:v>
      </x:c>
      <x:c r="E5" s="79" t="n">
        <x:f>IF(B5="Marketplace",C5*Assumptions!$B$5,C5)</x:f>
        <x:v>9</x:v>
      </x:c>
      <x:c r="F5" s="80" t="n">
        <x:f>IF(B5="Marketplace",C5-E5,0)</x:f>
        <x:v>0</x:v>
      </x:c>
      <x:c r="G5" s="79" t="n">
        <x:f>F5*Assumptions!$B$6</x:f>
        <x:v>0</x:v>
      </x:c>
      <x:c r="H5" s="80" t="n">
        <x:f>F5-G5</x:f>
        <x:v>0</x:v>
      </x:c>
      <x:c r="I5" s="79" t="n">
        <x:f>IF(C5&gt;0,C5*Assumptions!$B$8+Assumptions!$B$9,0)</x:f>
        <x:v>0.5609999999999999</x:v>
      </x:c>
      <x:c r="J5" s="79" t="n">
        <x:f>MAX(0,(E5-I5-D5)*(1-Assumptions!$B$7))</x:f>
        <x:v>8.139</x:v>
      </x:c>
      <x:c r="K5" s="79" t="n">
        <x:f>IF(C5&gt;0,C5*Assumptions!$B$10+Assumptions!$B$11,0)</x:f>
        <x:v>0.8150000000000001</x:v>
      </x:c>
      <x:c r="L5" s="79" t="n">
        <x:f>MAX(0,(E5-K5-D5)*(1-Assumptions!$B$7))</x:f>
        <x:v>7.885000000000001</x:v>
      </x:c>
      <x:c r="M5" s="79" t="n">
        <x:f>IF(C5&gt;0,C5*Assumptions!$B$12+Assumptions!$B$13,0)</x:f>
        <x:v>0.225</x:v>
      </x:c>
      <x:c r="N5" s="79" t="n">
        <x:f>MAX(0,(E5-M5-D5)*(1-Assumptions!$B$7))</x:f>
        <x:v>8.475</x:v>
      </x:c>
      <x:c r="O5" s="79" t="n">
        <x:f>I5*Assumptions!$B$14+K5*Assumptions!$B$15+M5*Assumptions!$B$16</x:f>
        <x:v>0.48149999999999993</x:v>
      </x:c>
      <x:c r="P5" s="80" t="n">
        <x:f>E5-O5-D5</x:f>
        <x:v>8.218499999999999</x:v>
      </x:c>
      <x:c r="Q5" s="79" t="n">
        <x:f>MAX(0,P5)*Assumptions!$B$7</x:f>
        <x:v>0</x:v>
      </x:c>
      <x:c r="R5" s="80" t="n">
        <x:f>P5-Q5</x:f>
        <x:v>8.218499999999999</x:v>
      </x:c>
      <x:c r="S5" s="46" t="n">
        <x:f>IFERROR(R5/C5,0)</x:f>
        <x:v>0.9131666666666666</x:v>
      </x:c>
      <x:c r="T5" s="46" t="n">
        <x:f>IFERROR(R5/E5,0)</x:f>
        <x:v>0.9131666666666666</x:v>
      </x:c>
      <x:c r="U5" s="81" t="n">
        <x:v>60</x:v>
      </x:c>
      <x:c r="V5" s="80" t="n">
        <x:f>R5*U5*12</x:f>
        <x:v>5917.319999999999</x:v>
      </x:c>
      <x:c r="W5" s="82" t="n">
        <x:f>RANK(V5,$V$4:$V$10,0)</x:f>
        <x:v>3</x:v>
      </x:c>
    </x:row>
    <x:row r="6">
      <x:c r="A6" s="78" t="str">
        <x:v>Artist Founding Premium — Annual</x:v>
      </x:c>
      <x:c r="B6" s="78" t="str">
        <x:v>Direct</x:v>
      </x:c>
      <x:c r="C6" s="44" t="n">
        <x:v>90</x:v>
      </x:c>
      <x:c r="D6" s="44" t="n">
        <x:v>0.6</x:v>
      </x:c>
      <x:c r="E6" s="79" t="n">
        <x:f>IF(B6="Marketplace",C6*Assumptions!$B$5,C6)</x:f>
        <x:v>90</x:v>
      </x:c>
      <x:c r="F6" s="80" t="n">
        <x:f>IF(B6="Marketplace",C6-E6,0)</x:f>
        <x:v>0</x:v>
      </x:c>
      <x:c r="G6" s="79" t="n">
        <x:f>F6*Assumptions!$B$6</x:f>
        <x:v>0</x:v>
      </x:c>
      <x:c r="H6" s="80" t="n">
        <x:f>F6-G6</x:f>
        <x:v>0</x:v>
      </x:c>
      <x:c r="I6" s="79" t="n">
        <x:f>IF(C6&gt;0,C6*Assumptions!$B$8+Assumptions!$B$9,0)</x:f>
        <x:v>2.91</x:v>
      </x:c>
      <x:c r="J6" s="79" t="n">
        <x:f>MAX(0,(E6-I6-D6)*(1-Assumptions!$B$7))</x:f>
        <x:v>86.49000000000001</x:v>
      </x:c>
      <x:c r="K6" s="79" t="n">
        <x:f>IF(C6&gt;0,C6*Assumptions!$B$10+Assumptions!$B$11,0)</x:f>
        <x:v>3.6500000000000004</x:v>
      </x:c>
      <x:c r="L6" s="79" t="n">
        <x:f>MAX(0,(E6-K6-D6)*(1-Assumptions!$B$7))</x:f>
        <x:v>85.75</x:v>
      </x:c>
      <x:c r="M6" s="79" t="n">
        <x:f>IF(C6&gt;0,C6*Assumptions!$B$12+Assumptions!$B$13,0)</x:f>
        <x:v>2.25</x:v>
      </x:c>
      <x:c r="N6" s="79" t="n">
        <x:f>MAX(0,(E6-M6-D6)*(1-Assumptions!$B$7))</x:f>
        <x:v>87.15</x:v>
      </x:c>
      <x:c r="O6" s="79" t="n">
        <x:f>I6*Assumptions!$B$14+K6*Assumptions!$B$15+M6*Assumptions!$B$16</x:f>
        <x:v>2.79</x:v>
      </x:c>
      <x:c r="P6" s="80" t="n">
        <x:f>E6-O6-D6</x:f>
        <x:v>86.61</x:v>
      </x:c>
      <x:c r="Q6" s="79" t="n">
        <x:f>MAX(0,P6)*Assumptions!$B$7</x:f>
        <x:v>0</x:v>
      </x:c>
      <x:c r="R6" s="80" t="n">
        <x:f>P6-Q6</x:f>
        <x:v>86.61</x:v>
      </x:c>
      <x:c r="S6" s="46" t="n">
        <x:f>IFERROR(R6/C6,0)</x:f>
        <x:v>0.9623333333333334</x:v>
      </x:c>
      <x:c r="T6" s="46" t="n">
        <x:f>IFERROR(R6/E6,0)</x:f>
        <x:v>0.9623333333333334</x:v>
      </x:c>
      <x:c r="U6" s="81" t="n">
        <x:v>10</x:v>
      </x:c>
      <x:c r="V6" s="80" t="n">
        <x:f>R6*U6*12</x:f>
        <x:v>10393.2</x:v>
      </x:c>
      <x:c r="W6" s="82" t="n">
        <x:f>RANK(V6,$V$4:$V$10,0)</x:f>
        <x:v>1</x:v>
      </x:c>
    </x:row>
    <x:row r="7">
      <x:c r="A7" s="78" t="str">
        <x:v>Artist Standard — Monthly</x:v>
      </x:c>
      <x:c r="B7" s="78" t="str">
        <x:v>Direct</x:v>
      </x:c>
      <x:c r="C7" s="44" t="n">
        <x:v>12</x:v>
      </x:c>
      <x:c r="D7" s="44" t="n">
        <x:v>0.3</x:v>
      </x:c>
      <x:c r="E7" s="79" t="n">
        <x:f>IF(B7="Marketplace",C7*Assumptions!$B$5,C7)</x:f>
        <x:v>12</x:v>
      </x:c>
      <x:c r="F7" s="80" t="n">
        <x:f>IF(B7="Marketplace",C7-E7,0)</x:f>
        <x:v>0</x:v>
      </x:c>
      <x:c r="G7" s="79" t="n">
        <x:f>F7*Assumptions!$B$6</x:f>
        <x:v>0</x:v>
      </x:c>
      <x:c r="H7" s="80" t="n">
        <x:f>F7-G7</x:f>
        <x:v>0</x:v>
      </x:c>
      <x:c r="I7" s="79" t="n">
        <x:f>IF(C7&gt;0,C7*Assumptions!$B$8+Assumptions!$B$9,0)</x:f>
        <x:v>0.648</x:v>
      </x:c>
      <x:c r="J7" s="79" t="n">
        <x:f>MAX(0,(E7-I7-D7)*(1-Assumptions!$B$7))</x:f>
        <x:v>11.052</x:v>
      </x:c>
      <x:c r="K7" s="79" t="n">
        <x:f>IF(C7&gt;0,C7*Assumptions!$B$10+Assumptions!$B$11,0)</x:f>
        <x:v>0.92</x:v>
      </x:c>
      <x:c r="L7" s="79" t="n">
        <x:f>MAX(0,(E7-K7-D7)*(1-Assumptions!$B$7))</x:f>
        <x:v>10.78</x:v>
      </x:c>
      <x:c r="M7" s="79" t="n">
        <x:f>IF(C7&gt;0,C7*Assumptions!$B$12+Assumptions!$B$13,0)</x:f>
        <x:v>0.30000000000000004</x:v>
      </x:c>
      <x:c r="N7" s="79" t="n">
        <x:f>MAX(0,(E7-M7-D7)*(1-Assumptions!$B$7))</x:f>
        <x:v>11.399999999999999</x:v>
      </x:c>
      <x:c r="O7" s="79" t="n">
        <x:f>I7*Assumptions!$B$14+K7*Assumptions!$B$15+M7*Assumptions!$B$16</x:f>
        <x:v>0.5670000000000001</x:v>
      </x:c>
      <x:c r="P7" s="80" t="n">
        <x:f>E7-O7-D7</x:f>
        <x:v>11.133</x:v>
      </x:c>
      <x:c r="Q7" s="79" t="n">
        <x:f>MAX(0,P7)*Assumptions!$B$7</x:f>
        <x:v>0</x:v>
      </x:c>
      <x:c r="R7" s="80" t="n">
        <x:f>P7-Q7</x:f>
        <x:v>11.133</x:v>
      </x:c>
      <x:c r="S7" s="46" t="n">
        <x:f>IFERROR(R7/C7,0)</x:f>
        <x:v>0.92775</x:v>
      </x:c>
      <x:c r="T7" s="46" t="n">
        <x:f>IFERROR(R7/E7,0)</x:f>
        <x:v>0.92775</x:v>
      </x:c>
      <x:c r="U7" s="81" t="n">
        <x:v>35</x:v>
      </x:c>
      <x:c r="V7" s="80" t="n">
        <x:f>R7*U7*12</x:f>
        <x:v>4675.86</x:v>
      </x:c>
      <x:c r="W7" s="82" t="n">
        <x:f>RANK(V7,$V$4:$V$10,0)</x:f>
        <x:v>4</x:v>
      </x:c>
    </x:row>
    <x:row r="8">
      <x:c r="A8" s="78" t="str">
        <x:v>Artist Standard — Annual</x:v>
      </x:c>
      <x:c r="B8" s="78" t="str">
        <x:v>Direct</x:v>
      </x:c>
      <x:c r="C8" s="44" t="n">
        <x:v>120</x:v>
      </x:c>
      <x:c r="D8" s="44" t="n">
        <x:v>0.6</x:v>
      </x:c>
      <x:c r="E8" s="79" t="n">
        <x:f>IF(B8="Marketplace",C8*Assumptions!$B$5,C8)</x:f>
        <x:v>120</x:v>
      </x:c>
      <x:c r="F8" s="80" t="n">
        <x:f>IF(B8="Marketplace",C8-E8,0)</x:f>
        <x:v>0</x:v>
      </x:c>
      <x:c r="G8" s="79" t="n">
        <x:f>F8*Assumptions!$B$6</x:f>
        <x:v>0</x:v>
      </x:c>
      <x:c r="H8" s="80" t="n">
        <x:f>F8-G8</x:f>
        <x:v>0</x:v>
      </x:c>
      <x:c r="I8" s="79" t="n">
        <x:f>IF(C8&gt;0,C8*Assumptions!$B$8+Assumptions!$B$9,0)</x:f>
        <x:v>3.78</x:v>
      </x:c>
      <x:c r="J8" s="79" t="n">
        <x:f>MAX(0,(E8-I8-D8)*(1-Assumptions!$B$7))</x:f>
        <x:v>115.62</x:v>
      </x:c>
      <x:c r="K8" s="79" t="n">
        <x:f>IF(C8&gt;0,C8*Assumptions!$B$10+Assumptions!$B$11,0)</x:f>
        <x:v>4.7</x:v>
      </x:c>
      <x:c r="L8" s="79" t="n">
        <x:f>MAX(0,(E8-K8-D8)*(1-Assumptions!$B$7))</x:f>
        <x:v>114.7</x:v>
      </x:c>
      <x:c r="M8" s="79" t="n">
        <x:f>IF(C8&gt;0,C8*Assumptions!$B$12+Assumptions!$B$13,0)</x:f>
        <x:v>3</x:v>
      </x:c>
      <x:c r="N8" s="79" t="n">
        <x:f>MAX(0,(E8-M8-D8)*(1-Assumptions!$B$7))</x:f>
        <x:v>116.4</x:v>
      </x:c>
      <x:c r="O8" s="79" t="n">
        <x:f>I8*Assumptions!$B$14+K8*Assumptions!$B$15+M8*Assumptions!$B$16</x:f>
        <x:v>3.6449999999999996</x:v>
      </x:c>
      <x:c r="P8" s="80" t="n">
        <x:f>E8-O8-D8</x:f>
        <x:v>115.75500000000001</x:v>
      </x:c>
      <x:c r="Q8" s="79" t="n">
        <x:f>MAX(0,P8)*Assumptions!$B$7</x:f>
        <x:v>0</x:v>
      </x:c>
      <x:c r="R8" s="80" t="n">
        <x:f>P8-Q8</x:f>
        <x:v>115.75500000000001</x:v>
      </x:c>
      <x:c r="S8" s="46" t="n">
        <x:f>IFERROR(R8/C8,0)</x:f>
        <x:v>0.9646250000000001</x:v>
      </x:c>
      <x:c r="T8" s="46" t="n">
        <x:f>IFERROR(R8/E8,0)</x:f>
        <x:v>0.9646250000000001</x:v>
      </x:c>
      <x:c r="U8" s="81" t="n">
        <x:v>6</x:v>
      </x:c>
      <x:c r="V8" s="80" t="n">
        <x:f>R8*U8*12</x:f>
        <x:v>8334.36</x:v>
      </x:c>
      <x:c r="W8" s="82" t="n">
        <x:f>RANK(V8,$V$4:$V$10,0)</x:f>
        <x:v>2</x:v>
      </x:c>
    </x:row>
    <x:row r="9">
      <x:c r="A9" s="78" t="str">
        <x:v>Professional Audio Service</x:v>
      </x:c>
      <x:c r="B9" s="78" t="str">
        <x:v>Direct</x:v>
      </x:c>
      <x:c r="C9" s="45" t="n">
        <x:v>75</x:v>
      </x:c>
      <x:c r="D9" s="45" t="n">
        <x:v>30</x:v>
      </x:c>
      <x:c r="E9" s="79" t="n">
        <x:f>IF(B9="Marketplace",C9*Assumptions!$B$5,C9)</x:f>
        <x:v>75</x:v>
      </x:c>
      <x:c r="F9" s="80" t="n">
        <x:f>IF(B9="Marketplace",C9-E9,0)</x:f>
        <x:v>0</x:v>
      </x:c>
      <x:c r="G9" s="79" t="n">
        <x:f>F9*Assumptions!$B$6</x:f>
        <x:v>0</x:v>
      </x:c>
      <x:c r="H9" s="80" t="n">
        <x:f>F9-G9</x:f>
        <x:v>0</x:v>
      </x:c>
      <x:c r="I9" s="79" t="n">
        <x:f>IF(C9&gt;0,C9*Assumptions!$B$8+Assumptions!$B$9,0)</x:f>
        <x:v>2.475</x:v>
      </x:c>
      <x:c r="J9" s="79" t="n">
        <x:f>MAX(0,(E9-I9-D9)*(1-Assumptions!$B$7))</x:f>
        <x:v>42.525000000000006</x:v>
      </x:c>
      <x:c r="K9" s="79" t="n">
        <x:f>IF(C9&gt;0,C9*Assumptions!$B$10+Assumptions!$B$11,0)</x:f>
        <x:v>3.1250000000000004</x:v>
      </x:c>
      <x:c r="L9" s="79" t="n">
        <x:f>MAX(0,(E9-K9-D9)*(1-Assumptions!$B$7))</x:f>
        <x:v>41.875</x:v>
      </x:c>
      <x:c r="M9" s="79" t="n">
        <x:f>IF(C9&gt;0,C9*Assumptions!$B$12+Assumptions!$B$13,0)</x:f>
        <x:v>1.875</x:v>
      </x:c>
      <x:c r="N9" s="79" t="n">
        <x:f>MAX(0,(E9-M9-D9)*(1-Assumptions!$B$7))</x:f>
        <x:v>43.125</x:v>
      </x:c>
      <x:c r="O9" s="79" t="n">
        <x:f>I9*Assumptions!$B$14+K9*Assumptions!$B$15+M9*Assumptions!$B$16</x:f>
        <x:v>2.3625</x:v>
      </x:c>
      <x:c r="P9" s="80" t="n">
        <x:f>E9-O9-D9</x:f>
        <x:v>42.6375</x:v>
      </x:c>
      <x:c r="Q9" s="79" t="n">
        <x:f>MAX(0,P9)*Assumptions!$B$7</x:f>
        <x:v>0</x:v>
      </x:c>
      <x:c r="R9" s="80" t="n">
        <x:f>P9-Q9</x:f>
        <x:v>42.6375</x:v>
      </x:c>
      <x:c r="S9" s="46" t="n">
        <x:f>IFERROR(R9/C9,0)</x:f>
        <x:v>0.5685</x:v>
      </x:c>
      <x:c r="T9" s="46" t="n">
        <x:f>IFERROR(R9/E9,0)</x:f>
        <x:v>0.5685</x:v>
      </x:c>
      <x:c r="U9" s="81" t="n">
        <x:v>8</x:v>
      </x:c>
      <x:c r="V9" s="80" t="n">
        <x:f>R9*U9*12</x:f>
        <x:v>4093.2000000000003</x:v>
      </x:c>
      <x:c r="W9" s="82" t="n">
        <x:f>RANK(V9,$V$4:$V$10,0)</x:f>
        <x:v>5</x:v>
      </x:c>
    </x:row>
    <x:row r="10">
      <x:c r="A10" s="78" t="str">
        <x:v>Producer Store Paid Tier — TBD</x:v>
      </x:c>
      <x:c r="B10" s="78" t="str">
        <x:v>Direct</x:v>
      </x:c>
      <x:c r="C10" s="45" t="n">
        <x:v>0</x:v>
      </x:c>
      <x:c r="D10" s="45" t="n">
        <x:v>0</x:v>
      </x:c>
      <x:c r="E10" s="79" t="n">
        <x:f>IF(B10="Marketplace",C10*Assumptions!$B$5,C10)</x:f>
        <x:v>0</x:v>
      </x:c>
      <x:c r="F10" s="80" t="n">
        <x:f>IF(B10="Marketplace",C10-E10,0)</x:f>
        <x:v>0</x:v>
      </x:c>
      <x:c r="G10" s="79" t="n">
        <x:f>F10*Assumptions!$B$6</x:f>
        <x:v>0</x:v>
      </x:c>
      <x:c r="H10" s="80" t="n">
        <x:f>F10-G10</x:f>
        <x:v>0</x:v>
      </x:c>
      <x:c r="I10" s="79" t="n">
        <x:f>IF(C10&gt;0,C10*Assumptions!$B$8+Assumptions!$B$9,0)</x:f>
        <x:v>0</x:v>
      </x:c>
      <x:c r="J10" s="79" t="n">
        <x:f>MAX(0,(E10-I10-D10)*(1-Assumptions!$B$7))</x:f>
        <x:v>0</x:v>
      </x:c>
      <x:c r="K10" s="79" t="n">
        <x:f>IF(C10&gt;0,C10*Assumptions!$B$10+Assumptions!$B$11,0)</x:f>
        <x:v>0</x:v>
      </x:c>
      <x:c r="L10" s="79" t="n">
        <x:f>MAX(0,(E10-K10-D10)*(1-Assumptions!$B$7))</x:f>
        <x:v>0</x:v>
      </x:c>
      <x:c r="M10" s="79" t="n">
        <x:f>IF(C10&gt;0,C10*Assumptions!$B$12+Assumptions!$B$13,0)</x:f>
        <x:v>0</x:v>
      </x:c>
      <x:c r="N10" s="79" t="n">
        <x:f>MAX(0,(E10-M10-D10)*(1-Assumptions!$B$7))</x:f>
        <x:v>0</x:v>
      </x:c>
      <x:c r="O10" s="79" t="n">
        <x:f>I10*Assumptions!$B$14+K10*Assumptions!$B$15+M10*Assumptions!$B$16</x:f>
        <x:v>0</x:v>
      </x:c>
      <x:c r="P10" s="80" t="n">
        <x:f>E10-O10-D10</x:f>
        <x:v>0</x:v>
      </x:c>
      <x:c r="Q10" s="79" t="n">
        <x:f>MAX(0,P10)*Assumptions!$B$7</x:f>
        <x:v>0</x:v>
      </x:c>
      <x:c r="R10" s="80" t="n">
        <x:f>P10-Q10</x:f>
        <x:v>0</x:v>
      </x:c>
      <x:c r="S10" s="46" t="n">
        <x:f>IFERROR(R10/C10,0)</x:f>
        <x:v>0</x:v>
      </x:c>
      <x:c r="T10" s="46" t="n">
        <x:f>IFERROR(R10/E10,0)</x:f>
        <x:v>0</x:v>
      </x:c>
      <x:c r="U10" s="81" t="n">
        <x:v>0</x:v>
      </x:c>
      <x:c r="V10" s="80" t="n">
        <x:f>R10*U10*12</x:f>
        <x:v>0</x:v>
      </x:c>
      <x:c r="W10" s="82" t="n">
        <x:f>RANK(V10,$V$4:$V$10,0)</x:f>
        <x:v>7</x:v>
      </x:c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</x:row>
    <x:row r="12">
      <x:c r="A12" s="83" t="str">
        <x:v>Total / blended portfolio</x:v>
      </x:c>
      <x:c r="B12" s="83"/>
      <x:c r="C12" s="84" t="n">
        <x:f>SUMPRODUCT(C4:C10,U4:U10)/MAX(1,SUM(U4:U10))</x:f>
        <x:v>27.63819095477387</x:v>
      </x:c>
      <x:c r="D12" s="84"/>
      <x:c r="E12" s="84" t="n">
        <x:f>SUMPRODUCT(E4:E10,U4:U10)/MAX(1,SUM(U4:U10))</x:f>
        <x:v>17.728643216080403</x:v>
      </x:c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4" t="n">
        <x:f>SUM(V4:V10)/MAX(1,SUM(U4:U10)*12)</x:f>
        <x:v>15.217964824120603</x:v>
      </x:c>
      <x:c r="S12" s="85" t="n">
        <x:f>SUM(V4:V10)/MAX(1,SUMPRODUCT(C4:C10,U4:U10)*12)</x:f>
        <x:v>0.5506136363636364</x:v>
      </x:c>
      <x:c r="T12" s="83"/>
      <x:c r="U12" s="86" t="n">
        <x:f>SUM(U4:U10)</x:f>
        <x:v>199</x:v>
      </x:c>
      <x:c r="V12" s="84" t="n">
        <x:f>SUM(V4:V10)</x:f>
        <x:v>36340.5</x:v>
      </x:c>
      <x:c r="W12" s="83"/>
    </x:row>
  </x:sheetData>
  <x:mergeCells>
    <x:mergeCell ref="A1:W1"/>
  </x:mergeCells>
  <x:conditionalFormatting sqref="S4:S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4:V10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{D4EE4488-AEB5-41CE-303D-9665B72DA99E}</x14:id>
        </x:ext>
      </x:extLst>
    </x:cfRule>
  </x:conditionalFormatting>
  <x:conditionalFormatting sqref="W4:W10">
    <x:cfRule type="cellIs" dxfId="1" priority="3">
      <x:formula>1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4EE4488-AEB5-41CE-303D-9665B72DA99E}">
            <x14:dataBar gradient="1">
              <x14:cfvo type="min"/>
              <x14:cfvo type="max"/>
              <x14:fillColor rgb="FFA02B93"/>
            </x14:dataBar>
          </x14:cfRule>
          <xm:sqref>V4:V10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62" hidden="0" customWidth="1"/>
    <x:col min="4" max="4" width="14" hidden="0" customWidth="1"/>
  </x:cols>
  <x:sheetData>
    <x:row r="1">
      <x:c r="A1" s="40" t="str">
        <x:v>BVSRadio Profitability Model — Assumptions</x:v>
      </x:c>
      <x:c r="B1" s="40"/>
      <x:c r="C1" s="40"/>
      <x:c r="D1" s="40"/>
    </x:row>
    <x:row r="2">
      <x:c r="A2" s="30"/>
      <x:c r="B2" s="30"/>
      <x:c r="C2" s="30"/>
      <x:c r="D2" s="30"/>
    </x:row>
    <x:row r="3">
      <x:c r="A3" s="15" t="str">
        <x:v>Assumption</x:v>
      </x:c>
      <x:c r="B3" s="15" t="str">
        <x:v>Value</x:v>
      </x:c>
      <x:c r="C3" s="15" t="str">
        <x:v>Source / rationale</x:v>
      </x:c>
      <x:c r="D3" s="15" t="str">
        <x:v>Status</x:v>
      </x:c>
    </x:row>
    <x:row r="4">
      <x:c r="A4" s="30" t="str">
        <x:v>Model currency</x:v>
      </x:c>
      <x:c r="B4" s="41" t="str">
        <x:v>USD</x:v>
      </x:c>
      <x:c r="C4" s="30" t="str">
        <x:v>Model convention; Paynow merchant fee table is published in USD.</x:v>
      </x:c>
      <x:c r="D4" s="30" t="str">
        <x:v>Input</x:v>
      </x:c>
    </x:row>
    <x:row r="5">
      <x:c r="A5" s="30" t="str">
        <x:v>Marketplace platform commission</x:v>
      </x:c>
      <x:c r="B5" s="42" t="n">
        <x:v>0.15</x:v>
      </x:c>
      <x:c r="C5" s="30" t="str">
        <x:v>User instruction: artist pays 15% platform fee.</x:v>
      </x:c>
      <x:c r="D5" s="30" t="str">
        <x:v>Confirmed</x:v>
      </x:c>
    </x:row>
    <x:row r="6">
      <x:c r="A6" s="30" t="str">
        <x:v>Artist tax / withholding rate</x:v>
      </x:c>
      <x:c r="B6" s="43" t="n">
        <x:v>0.15</x:v>
      </x:c>
      <x:c r="C6" s="30" t="str">
        <x:v>Placeholder to model artist-side tax; replace with actual legal/tax rate and base.</x:v>
      </x:c>
      <x:c r="D6" s="30" t="str">
        <x:v>VERIFY</x:v>
      </x:c>
    </x:row>
    <x:row r="7">
      <x:c r="A7" s="30" t="str">
        <x:v>BVS tax rate on positive contribution</x:v>
      </x:c>
      <x:c r="B7" s="43" t="n">
        <x:v>0</x:v>
      </x:c>
      <x:c r="C7" s="30" t="str">
        <x:v>Not specified. Set to 0% so tax is not guessed; enter actual rate if applicable.</x:v>
      </x:c>
      <x:c r="D7" s="30" t="str">
        <x:v>VERIFY</x:v>
      </x:c>
    </x:row>
    <x:row r="8">
      <x:c r="A8" s="30" t="str">
        <x:v>Stripe processing %</x:v>
      </x:c>
      <x:c r="B8" s="42" t="n">
        <x:v>0.029</x:v>
      </x:c>
      <x:c r="C8" s="30" t="str">
        <x:v>Stripe standard US pricing: 2.9% + $0.30 per successful domestic card transaction.</x:v>
      </x:c>
      <x:c r="D8" s="30" t="str">
        <x:v>Editable</x:v>
      </x:c>
    </x:row>
    <x:row r="9">
      <x:c r="A9" s="30" t="str">
        <x:v>Stripe fixed fee / transaction</x:v>
      </x:c>
      <x:c r="B9" s="44" t="n">
        <x:v>0.3</x:v>
      </x:c>
      <x:c r="C9" s="30" t="str">
        <x:v>Stripe standard US pricing.</x:v>
      </x:c>
      <x:c r="D9" s="30" t="str">
        <x:v>Editable</x:v>
      </x:c>
    </x:row>
    <x:row r="10">
      <x:c r="A10" s="30" t="str">
        <x:v>Paynow Card processing %</x:v>
      </x:c>
      <x:c r="B10" s="42" t="n">
        <x:v>0.035</x:v>
      </x:c>
      <x:c r="C10" s="30" t="str">
        <x:v>Paynow merchant fees: Visa/Mastercard 3.5% + $0.50.</x:v>
      </x:c>
      <x:c r="D10" s="30" t="str">
        <x:v>Published</x:v>
      </x:c>
    </x:row>
    <x:row r="11">
      <x:c r="A11" s="30" t="str">
        <x:v>Paynow Card fixed fee / transaction</x:v>
      </x:c>
      <x:c r="B11" s="44" t="n">
        <x:v>0.5</x:v>
      </x:c>
      <x:c r="C11" s="30" t="str">
        <x:v>Paynow merchant fees.</x:v>
      </x:c>
      <x:c r="D11" s="30" t="str">
        <x:v>Published</x:v>
      </x:c>
    </x:row>
    <x:row r="12">
      <x:c r="A12" s="30" t="str">
        <x:v>Paynow Mobile processing %</x:v>
      </x:c>
      <x:c r="B12" s="42" t="n">
        <x:v>0.025</x:v>
      </x:c>
      <x:c r="C12" s="30" t="str">
        <x:v>Paynow merchant fees: EcoCash/OneMoney/Telecash 2.5%.</x:v>
      </x:c>
      <x:c r="D12" s="30" t="str">
        <x:v>Published</x:v>
      </x:c>
    </x:row>
    <x:row r="13">
      <x:c r="A13" s="30" t="str">
        <x:v>Paynow Mobile fixed fee / transaction</x:v>
      </x:c>
      <x:c r="B13" s="44" t="n">
        <x:v>0</x:v>
      </x:c>
      <x:c r="C13" s="30" t="str">
        <x:v>Paynow published fee table shows percentage-only for mobile-money rails.</x:v>
      </x:c>
      <x:c r="D13" s="30" t="str">
        <x:v>Published</x:v>
      </x:c>
    </x:row>
    <x:row r="14">
      <x:c r="A14" s="30" t="str">
        <x:v>Payment mix — Stripe</x:v>
      </x:c>
      <x:c r="B14" s="43" t="n">
        <x:v>0.5</x:v>
      </x:c>
      <x:c r="C14" s="30" t="str">
        <x:v>Scenario assumption; change to actual checkout mix.</x:v>
      </x:c>
      <x:c r="D14" s="30" t="str">
        <x:v>VERIFY</x:v>
      </x:c>
    </x:row>
    <x:row r="15">
      <x:c r="A15" s="30" t="str">
        <x:v>Payment mix — Paynow Card</x:v>
      </x:c>
      <x:c r="B15" s="43" t="n">
        <x:v>0.15</x:v>
      </x:c>
      <x:c r="C15" s="30" t="str">
        <x:v>Scenario assumption; change to actual checkout mix.</x:v>
      </x:c>
      <x:c r="D15" s="30" t="str">
        <x:v>VERIFY</x:v>
      </x:c>
    </x:row>
    <x:row r="16">
      <x:c r="A16" s="30" t="str">
        <x:v>Payment mix — Paynow Mobile</x:v>
      </x:c>
      <x:c r="B16" s="43" t="n">
        <x:v>0.35</x:v>
      </x:c>
      <x:c r="C16" s="30" t="str">
        <x:v>Scenario assumption; change to actual checkout mix.</x:v>
      </x:c>
      <x:c r="D16" s="30" t="str">
        <x:v>VERIFY</x:v>
      </x:c>
    </x:row>
    <x:row r="17">
      <x:c r="A17" s="30" t="str">
        <x:v>Discount rate (Kapitalwert / NPV)</x:v>
      </x:c>
      <x:c r="B17" s="43" t="n">
        <x:v>0.12</x:v>
      </x:c>
      <x:c r="C17" s="30" t="str">
        <x:v>Scenario assumption for required return.</x:v>
      </x:c>
      <x:c r="D17" s="30" t="str">
        <x:v>VERIFY</x:v>
      </x:c>
    </x:row>
    <x:row r="18">
      <x:c r="A18" s="30" t="str">
        <x:v>Initial investment / setup cost</x:v>
      </x:c>
      <x:c r="B18" s="45" t="n">
        <x:v>3000</x:v>
      </x:c>
      <x:c r="C18" s="30" t="str">
        <x:v>Scenario assumption; replace with actual sunk/new investment included in decision.</x:v>
      </x:c>
      <x:c r="D18" s="30" t="str">
        <x:v>VERIFY</x:v>
      </x:c>
    </x:row>
    <x:row r="19">
      <x:c r="A19" s="30" t="str">
        <x:v>Annual fixed operating cost</x:v>
      </x:c>
      <x:c r="B19" s="45" t="n">
        <x:v>2400</x:v>
      </x:c>
      <x:c r="C19" s="30" t="str">
        <x:v>Scenario assumption; hosting, tools, admin etc. Replace with actual run-rate.</x:v>
      </x:c>
      <x:c r="D19" s="30" t="str">
        <x:v>VERIFY</x:v>
      </x:c>
    </x:row>
    <x:row r="20">
      <x:c r="A20" s="30" t="str">
        <x:v>Annual unit-sales growth</x:v>
      </x:c>
      <x:c r="B20" s="43" t="n">
        <x:v>0.25</x:v>
      </x:c>
      <x:c r="C20" s="30" t="str">
        <x:v>Scenario assumption.</x:v>
      </x:c>
      <x:c r="D20" s="30" t="str">
        <x:v>VERIFY</x:v>
      </x:c>
    </x:row>
    <x:row r="21">
      <x:c r="A21" s="30" t="str">
        <x:v>Annual fixed-OPEX growth</x:v>
      </x:c>
      <x:c r="B21" s="43" t="n">
        <x:v>0.08</x:v>
      </x:c>
      <x:c r="C21" s="30" t="str">
        <x:v>Scenario assumption.</x:v>
      </x:c>
      <x:c r="D21" s="30" t="str">
        <x:v>VERIFY</x:v>
      </x:c>
    </x:row>
    <x:row r="22">
      <x:c r="A22" s="30" t="str">
        <x:v>Projection years</x:v>
      </x:c>
      <x:c r="B22" s="81" t="n">
        <x:v>5</x:v>
      </x:c>
      <x:c r="C22" s="30" t="str">
        <x:v>Kapitalwert projection horizon.</x:v>
      </x:c>
      <x:c r="D22" s="30" t="str">
        <x:v>Editable</x:v>
      </x:c>
    </x:row>
    <x:row r="23">
      <x:c r="A23" s="30"/>
      <x:c r="B23" s="30"/>
      <x:c r="C23" s="30"/>
      <x:c r="D23" s="30"/>
    </x:row>
    <x:row r="24">
      <x:c r="A24" s="30" t="str">
        <x:v>Payment-mix check</x:v>
      </x:c>
      <x:c r="B24" s="46" t="n">
        <x:f>SUM(B14:B16)</x:f>
        <x:v>1</x:v>
      </x:c>
      <x:c r="C24" s="30" t="str">
        <x:v>Should equal 100%</x:v>
      </x:c>
      <x:c r="D24" s="30"/>
    </x:row>
  </x:sheetData>
  <x:mergeCells>
    <x:mergeCell ref="A1:D1"/>
  </x:mergeCells>
  <x:conditionalFormatting sqref="B24:B24">
    <x:cfRule type="cellIs" dxfId="0" priority="1" operator="not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5" t="str">
        <x:v>5-Year Operating Projection</x:v>
      </x:c>
      <x:c r="B1" s="5"/>
      <x:c r="C1" s="5"/>
      <x:c r="D1" s="5"/>
      <x:c r="E1" s="5"/>
      <x:c r="F1" s="5"/>
      <x:c r="G1" s="5"/>
    </x:row>
    <x:row r="3">
      <x:c r="A3" s="15" t="str">
        <x:v>Metric</x:v>
      </x:c>
      <x:c r="B3" s="15" t="str">
        <x:v>Year 0</x:v>
      </x:c>
      <x:c r="C3" s="15" t="str">
        <x:v>Year 1</x:v>
      </x:c>
      <x:c r="D3" s="15" t="str">
        <x:v>Year 2</x:v>
      </x:c>
      <x:c r="E3" s="15" t="str">
        <x:v>Year 3</x:v>
      </x:c>
      <x:c r="F3" s="15" t="str">
        <x:v>Year 4</x:v>
      </x:c>
      <x:c r="G3" s="15" t="str">
        <x:v>Year 5</x:v>
      </x:c>
    </x:row>
    <x:row r="4">
      <x:c r="A4" s="102" t="str">
        <x:v>Product contribution before fixed OPEX ($)</x:v>
      </x:c>
      <x:c r="B4" s="62" t="n">
        <x:v>0</x:v>
      </x:c>
      <x:c r="C4" s="62" t="n">
        <x:f>'Unit Economics'!$V$12*(1+Assumptions!$B$20)^0</x:f>
        <x:v>36340.5</x:v>
      </x:c>
      <x:c r="D4" s="62" t="n">
        <x:f>'Unit Economics'!$V$12*(1+Assumptions!$B$20)^1</x:f>
        <x:v>45425.625</x:v>
      </x:c>
      <x:c r="E4" s="62" t="n">
        <x:f>'Unit Economics'!$V$12*(1+Assumptions!$B$20)^2</x:f>
        <x:v>56782.03125</x:v>
      </x:c>
      <x:c r="F4" s="62" t="n">
        <x:f>'Unit Economics'!$V$12*(1+Assumptions!$B$20)^3</x:f>
        <x:v>70977.5390625</x:v>
      </x:c>
      <x:c r="G4" s="62" t="n">
        <x:f>'Unit Economics'!$V$12*(1+Assumptions!$B$20)^4</x:f>
        <x:v>88721.923828125</x:v>
      </x:c>
    </x:row>
    <x:row r="5">
      <x:c r="A5" s="102" t="str">
        <x:v>Fixed operating cost ($)</x:v>
      </x:c>
      <x:c r="B5" s="62" t="n">
        <x:v>0</x:v>
      </x:c>
      <x:c r="C5" s="62" t="n">
        <x:f>Assumptions!$B$19*(1+Assumptions!$B$21)^0</x:f>
        <x:v>2400</x:v>
      </x:c>
      <x:c r="D5" s="62" t="n">
        <x:f>Assumptions!$B$19*(1+Assumptions!$B$21)^1</x:f>
        <x:v>2592</x:v>
      </x:c>
      <x:c r="E5" s="62" t="n">
        <x:f>Assumptions!$B$19*(1+Assumptions!$B$21)^2</x:f>
        <x:v>2799.36</x:v>
      </x:c>
      <x:c r="F5" s="62" t="n">
        <x:f>Assumptions!$B$19*(1+Assumptions!$B$21)^3</x:f>
        <x:v>3023.3088000000002</x:v>
      </x:c>
      <x:c r="G5" s="62" t="n">
        <x:f>Assumptions!$B$19*(1+Assumptions!$B$21)^4</x:f>
        <x:v>3265.173504000001</x:v>
      </x:c>
    </x:row>
    <x:row r="6">
      <x:c r="A6" s="104" t="str">
        <x:v>Free cash flow ($)</x:v>
      </x:c>
      <x:c r="B6" s="105" t="n">
        <x:f>-Assumptions!$B$18</x:f>
        <x:v>-3000</x:v>
      </x:c>
      <x:c r="C6" s="105" t="n">
        <x:f>C4-C5</x:f>
        <x:v>33940.5</x:v>
      </x:c>
      <x:c r="D6" s="105" t="n">
        <x:f>D4-D5</x:f>
        <x:v>42833.625</x:v>
      </x:c>
      <x:c r="E6" s="105" t="n">
        <x:f>E4-E5</x:f>
        <x:v>53982.67125</x:v>
      </x:c>
      <x:c r="F6" s="105" t="n">
        <x:f>F4-F5</x:f>
        <x:v>67954.2302625</x:v>
      </x:c>
      <x:c r="G6" s="105" t="n">
        <x:f>G4-G5</x:f>
        <x:v>85456.750324125</x:v>
      </x:c>
    </x:row>
    <x:row r="7">
      <x:c r="A7" s="102" t="str">
        <x:v>Discount factor</x:v>
      </x:c>
      <x:c r="B7" s="100" t="n">
        <x:v>1</x:v>
      </x:c>
      <x:c r="C7" s="100" t="n">
        <x:f>1/(1+Assumptions!$B$17)^1</x:f>
        <x:v>0.8928571428571428</x:v>
      </x:c>
      <x:c r="D7" s="100" t="n">
        <x:f>1/(1+Assumptions!$B$17)^2</x:f>
        <x:v>0.7971938775510203</x:v>
      </x:c>
      <x:c r="E7" s="100" t="n">
        <x:f>1/(1+Assumptions!$B$17)^3</x:f>
        <x:v>0.7117802478134109</x:v>
      </x:c>
      <x:c r="F7" s="100" t="n">
        <x:f>1/(1+Assumptions!$B$17)^4</x:f>
        <x:v>0.6355180784048312</x:v>
      </x:c>
      <x:c r="G7" s="100" t="n">
        <x:f>1/(1+Assumptions!$B$17)^5</x:f>
        <x:v>0.5674268557185992</x:v>
      </x:c>
    </x:row>
    <x:row r="8">
      <x:c r="A8" s="104" t="str">
        <x:v>Present value of FCF ($)</x:v>
      </x:c>
      <x:c r="B8" s="105" t="n">
        <x:f>B6</x:f>
        <x:v>-3000</x:v>
      </x:c>
      <x:c r="C8" s="105" t="n">
        <x:f>C6*C7</x:f>
        <x:v>30304.017857142855</x:v>
      </x:c>
      <x:c r="D8" s="105" t="n">
        <x:f>D6*D7</x:f>
        <x:v>34146.703603316324</x:v>
      </x:c>
      <x:c r="E8" s="105" t="n">
        <x:f>E6*E7</x:f>
        <x:v>38423.79911995489</x:v>
      </x:c>
      <x:c r="F8" s="105" t="n">
        <x:f>F6*F7</x:f>
        <x:v>43186.14183590343</x:v>
      </x:c>
      <x:c r="G8" s="105" t="n">
        <x:f>G6*G7</x:f>
        <x:v>48490.45513634763</x:v>
      </x:c>
    </x:row>
    <x:row r="9">
      <x:c r="A9" s="102" t="str">
        <x:v>Cumulative undiscounted cash flow ($)</x:v>
      </x:c>
      <x:c r="B9" s="62" t="n">
        <x:f>B6</x:f>
        <x:v>-3000</x:v>
      </x:c>
      <x:c r="C9" s="62" t="n">
        <x:f>B9+C6</x:f>
        <x:v>30940.5</x:v>
      </x:c>
      <x:c r="D9" s="62" t="n">
        <x:f>C9+D6</x:f>
        <x:v>73774.125</x:v>
      </x:c>
      <x:c r="E9" s="62" t="n">
        <x:f>D9+E6</x:f>
        <x:v>127756.79625</x:v>
      </x:c>
      <x:c r="F9" s="62" t="n">
        <x:f>E9+F6</x:f>
        <x:v>195711.02651250002</x:v>
      </x:c>
      <x:c r="G9" s="62" t="n">
        <x:f>F9+G6</x:f>
        <x:v>281167.776836625</x:v>
      </x:c>
    </x:row>
    <x:row r="10">
      <x:c r="A10" s="102" t="str">
        <x:v>Cumulative present value ($)</x:v>
      </x:c>
      <x:c r="B10" s="62" t="n">
        <x:f>B8</x:f>
        <x:v>-3000</x:v>
      </x:c>
      <x:c r="C10" s="62" t="n">
        <x:f>B10+C8</x:f>
        <x:v>27304.017857142855</x:v>
      </x:c>
      <x:c r="D10" s="62" t="n">
        <x:f>C10+D8</x:f>
        <x:v>61450.72146045918</x:v>
      </x:c>
      <x:c r="E10" s="62" t="n">
        <x:f>D10+E8</x:f>
        <x:v>99874.52058041407</x:v>
      </x:c>
      <x:c r="F10" s="62" t="n">
        <x:f>E10+F8</x:f>
        <x:v>143060.6624163175</x:v>
      </x:c>
      <x:c r="G10" s="62" t="n">
        <x:f>F10+G8</x:f>
        <x:v>191551.11755266512</x:v>
      </x:c>
    </x:row>
    <x:row r="12">
      <x:c r="A12" s="15" t="str">
        <x:v>KPI</x:v>
      </x:c>
      <x:c r="B12" s="15" t="str">
        <x:v>Value</x:v>
      </x:c>
    </x:row>
    <x:row r="13">
      <x:c r="A13" t="str">
        <x:v>5-year NPV / Kapitalwert ($)</x:v>
      </x:c>
      <x:c r="B13" s="96" t="n">
        <x:f>SUM(B8:G8)</x:f>
        <x:v>191551.11755266512</x:v>
      </x:c>
    </x:row>
    <x:row r="14">
      <x:c r="A14" t="str">
        <x:v>Year 1 free cash flow ($)</x:v>
      </x:c>
      <x:c r="B14" s="96" t="n">
        <x:f>C6</x:f>
        <x:v>33940.5</x:v>
      </x:c>
    </x:row>
    <x:row r="15">
      <x:c r="A15" t="str">
        <x:v>NPV / initial investment</x:v>
      </x:c>
      <x:c r="B15" s="108" t="n">
        <x:f>IFERROR(B13/Assumptions!$B$18,0)</x:f>
        <x:v>63.85037251755504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</x:cols>
  <x:sheetData>
    <x:row r="1">
      <x:c r="A1" s="5" t="str">
        <x:v>Kapitalwert / NPV Contribution by Product</x:v>
      </x:c>
      <x:c r="B1" s="5"/>
      <x:c r="C1" s="5"/>
      <x:c r="D1" s="5"/>
      <x:c r="E1" s="5"/>
      <x:c r="F1" s="5"/>
      <x:c r="G1" s="5"/>
      <x:c r="H1" s="5"/>
    </x:row>
    <x:row r="3">
      <x:c r="A3" s="15" t="str">
        <x:v>Product</x:v>
      </x:c>
      <x:c r="B3" s="15" t="str">
        <x:v>Year 1 PV ($)</x:v>
      </x:c>
      <x:c r="C3" s="15" t="str">
        <x:v>Year 2 PV ($)</x:v>
      </x:c>
      <x:c r="D3" s="15" t="str">
        <x:v>Year 3 PV ($)</x:v>
      </x:c>
      <x:c r="E3" s="15" t="str">
        <x:v>Year 4 PV ($)</x:v>
      </x:c>
      <x:c r="F3" s="15" t="str">
        <x:v>Year 5 PV ($)</x:v>
      </x:c>
      <x:c r="G3" s="15" t="str">
        <x:v>5Y PV contribution ($)</x:v>
      </x:c>
      <x:c r="H3" s="15" t="str">
        <x:v>PV rank</x:v>
      </x:c>
    </x:row>
    <x:row r="4">
      <x:c r="A4" s="58" t="str">
        <x:f>'Unit Economics'!A4</x:f>
        <x:v>Beat Licence</x:v>
      </x:c>
      <x:c r="B4" s="62" t="n">
        <x:f>'Unit Economics'!$V4*(1+Assumptions!$B$21)^0/(1+Assumptions!$B$17)^1</x:f>
        <x:v>2612.9999999999995</x:v>
      </x:c>
      <x:c r="C4" s="62" t="n">
        <x:f>'Unit Economics'!$V4*(1+Assumptions!$B$21)^1/(1+Assumptions!$B$17)^2</x:f>
        <x:v>2519.678571428571</x:v>
      </x:c>
      <x:c r="D4" s="62" t="n">
        <x:f>'Unit Economics'!$V4*(1+Assumptions!$B$21)^2/(1+Assumptions!$B$17)^3</x:f>
        <x:v>2429.6900510204077</x:v>
      </x:c>
      <x:c r="E4" s="62" t="n">
        <x:f>'Unit Economics'!$V4*(1+Assumptions!$B$21)^3/(1+Assumptions!$B$17)^4</x:f>
        <x:v>2342.915406341108</x:v>
      </x:c>
      <x:c r="F4" s="62" t="n">
        <x:f>'Unit Economics'!$V4*(1+Assumptions!$B$21)^4/(1+Assumptions!$B$17)^5</x:f>
        <x:v>2259.2398561146397</x:v>
      </x:c>
      <x:c r="G4" s="62" t="n">
        <x:f>SUM(B4:F4)</x:f>
        <x:v>12164.523884904727</x:v>
      </x:c>
      <x:c r="H4" s="110" t="n">
        <x:f>RANK(G4,$G$4:$G$10,0)</x:f>
        <x:v>6</x:v>
      </x:c>
    </x:row>
    <x:row r="5">
      <x:c r="A5" s="58" t="str">
        <x:f>'Unit Economics'!A5</x:f>
        <x:v>Artist Founding Premium — Monthly</x:v>
      </x:c>
      <x:c r="B5" s="62" t="n">
        <x:f>'Unit Economics'!$V5*(1+Assumptions!$B$21)^0/(1+Assumptions!$B$17)^1</x:f>
        <x:v>5283.321428571427</x:v>
      </x:c>
      <x:c r="C5" s="62" t="n">
        <x:f>'Unit Economics'!$V5*(1+Assumptions!$B$21)^1/(1+Assumptions!$B$17)^2</x:f>
        <x:v>5094.631377551019</x:v>
      </x:c>
      <x:c r="D5" s="62" t="n">
        <x:f>'Unit Economics'!$V5*(1+Assumptions!$B$21)^2/(1+Assumptions!$B$17)^3</x:f>
        <x:v>4912.680256924196</x:v>
      </x:c>
      <x:c r="E5" s="62" t="n">
        <x:f>'Unit Economics'!$V5*(1+Assumptions!$B$21)^3/(1+Assumptions!$B$17)^4</x:f>
        <x:v>4737.227390605475</x:v>
      </x:c>
      <x:c r="F5" s="62" t="n">
        <x:f>'Unit Economics'!$V5*(1+Assumptions!$B$21)^4/(1+Assumptions!$B$17)^5</x:f>
        <x:v>4568.040698083852</x:v>
      </x:c>
      <x:c r="G5" s="62" t="n">
        <x:f>SUM(B5:F5)</x:f>
        <x:v>24595.90115173597</x:v>
      </x:c>
      <x:c r="H5" s="110" t="n">
        <x:f>RANK(G5,$G$4:$G$10,0)</x:f>
        <x:v>3</x:v>
      </x:c>
    </x:row>
    <x:row r="6">
      <x:c r="A6" s="58" t="str">
        <x:f>'Unit Economics'!A6</x:f>
        <x:v>Artist Founding Premium — Annual</x:v>
      </x:c>
      <x:c r="B6" s="62" t="n">
        <x:f>'Unit Economics'!$V6*(1+Assumptions!$B$21)^0/(1+Assumptions!$B$17)^1</x:f>
        <x:v>9279.642857142857</x:v>
      </x:c>
      <x:c r="C6" s="62" t="n">
        <x:f>'Unit Economics'!$V6*(1+Assumptions!$B$21)^1/(1+Assumptions!$B$17)^2</x:f>
        <x:v>8948.227040816326</x:v>
      </x:c>
      <x:c r="D6" s="62" t="n">
        <x:f>'Unit Economics'!$V6*(1+Assumptions!$B$21)^2/(1+Assumptions!$B$17)^3</x:f>
        <x:v>8628.647503644313</x:v>
      </x:c>
      <x:c r="E6" s="62" t="n">
        <x:f>'Unit Economics'!$V6*(1+Assumptions!$B$21)^3/(1+Assumptions!$B$17)^4</x:f>
        <x:v>8320.481521371305</x:v>
      </x:c>
      <x:c r="F6" s="62" t="n">
        <x:f>'Unit Economics'!$V6*(1+Assumptions!$B$21)^4/(1+Assumptions!$B$17)^5</x:f>
        <x:v>8023.321467036615</x:v>
      </x:c>
      <x:c r="G6" s="62" t="n">
        <x:f>SUM(B6:F6)</x:f>
        <x:v>43200.32039001142</x:v>
      </x:c>
      <x:c r="H6" s="110" t="n">
        <x:f>RANK(G6,$G$4:$G$10,0)</x:f>
        <x:v>1</x:v>
      </x:c>
    </x:row>
    <x:row r="7">
      <x:c r="A7" s="58" t="str">
        <x:f>'Unit Economics'!A7</x:f>
        <x:v>Artist Standard — Monthly</x:v>
      </x:c>
      <x:c r="B7" s="62" t="n">
        <x:f>'Unit Economics'!$V7*(1+Assumptions!$B$21)^0/(1+Assumptions!$B$17)^1</x:f>
        <x:v>4174.874999999999</x:v>
      </x:c>
      <x:c r="C7" s="62" t="n">
        <x:f>'Unit Economics'!$V7*(1+Assumptions!$B$21)^1/(1+Assumptions!$B$17)^2</x:f>
        <x:v>4025.7723214285706</x:v>
      </x:c>
      <x:c r="D7" s="62" t="n">
        <x:f>'Unit Economics'!$V7*(1+Assumptions!$B$21)^2/(1+Assumptions!$B$17)^3</x:f>
        <x:v>3881.9947385204073</x:v>
      </x:c>
      <x:c r="E7" s="62" t="n">
        <x:f>'Unit Economics'!$V7*(1+Assumptions!$B$21)^3/(1+Assumptions!$B$17)^4</x:f>
        <x:v>3743.352069287536</x:v>
      </x:c>
      <x:c r="F7" s="62" t="n">
        <x:f>'Unit Economics'!$V7*(1+Assumptions!$B$21)^4/(1+Assumptions!$B$17)^5</x:f>
        <x:v>3609.660923955838</x:v>
      </x:c>
      <x:c r="G7" s="62" t="n">
        <x:f>SUM(B7:F7)</x:f>
        <x:v>19435.65505319235</x:v>
      </x:c>
      <x:c r="H7" s="110" t="n">
        <x:f>RANK(G7,$G$4:$G$10,0)</x:f>
        <x:v>4</x:v>
      </x:c>
    </x:row>
    <x:row r="8">
      <x:c r="A8" s="58" t="str">
        <x:f>'Unit Economics'!A8</x:f>
        <x:v>Artist Standard — Annual</x:v>
      </x:c>
      <x:c r="B8" s="62" t="n">
        <x:f>'Unit Economics'!$V8*(1+Assumptions!$B$21)^0/(1+Assumptions!$B$17)^1</x:f>
        <x:v>7441.392857142857</x:v>
      </x:c>
      <x:c r="C8" s="62" t="n">
        <x:f>'Unit Economics'!$V8*(1+Assumptions!$B$21)^1/(1+Assumptions!$B$17)^2</x:f>
        <x:v>7175.628826530613</x:v>
      </x:c>
      <x:c r="D8" s="62" t="n">
        <x:f>'Unit Economics'!$V8*(1+Assumptions!$B$21)^2/(1+Assumptions!$B$17)^3</x:f>
        <x:v>6919.3563684402325</x:v>
      </x:c>
      <x:c r="E8" s="62" t="n">
        <x:f>'Unit Economics'!$V8*(1+Assumptions!$B$21)^3/(1+Assumptions!$B$17)^4</x:f>
        <x:v>6672.2364981387955</x:v>
      </x:c>
      <x:c r="F8" s="62" t="n">
        <x:f>'Unit Economics'!$V8*(1+Assumptions!$B$21)^4/(1+Assumptions!$B$17)^5</x:f>
        <x:v>6433.942337490982</x:v>
      </x:c>
      <x:c r="G8" s="62" t="n">
        <x:f>SUM(B8:F8)</x:f>
        <x:v>34642.55688774348</x:v>
      </x:c>
      <x:c r="H8" s="110" t="n">
        <x:f>RANK(G8,$G$4:$G$10,0)</x:f>
        <x:v>2</x:v>
      </x:c>
    </x:row>
    <x:row r="9">
      <x:c r="A9" s="58" t="str">
        <x:f>'Unit Economics'!A9</x:f>
        <x:v>Professional Audio Service</x:v>
      </x:c>
      <x:c r="B9" s="62" t="n">
        <x:f>'Unit Economics'!$V9*(1+Assumptions!$B$21)^0/(1+Assumptions!$B$17)^1</x:f>
        <x:v>3654.642857142857</x:v>
      </x:c>
      <x:c r="C9" s="62" t="n">
        <x:f>'Unit Economics'!$V9*(1+Assumptions!$B$21)^1/(1+Assumptions!$B$17)^2</x:f>
        <x:v>3524.119897959184</x:v>
      </x:c>
      <x:c r="D9" s="62" t="n">
        <x:f>'Unit Economics'!$V9*(1+Assumptions!$B$21)^2/(1+Assumptions!$B$17)^3</x:f>
        <x:v>3398.2584730320696</x:v>
      </x:c>
      <x:c r="E9" s="62" t="n">
        <x:f>'Unit Economics'!$V9*(1+Assumptions!$B$21)^3/(1+Assumptions!$B$17)^4</x:f>
        <x:v>3276.89209899521</x:v>
      </x:c>
      <x:c r="F9" s="62" t="n">
        <x:f>'Unit Economics'!$V9*(1+Assumptions!$B$21)^4/(1+Assumptions!$B$17)^5</x:f>
        <x:v>3159.86023831681</x:v>
      </x:c>
      <x:c r="G9" s="62" t="n">
        <x:f>SUM(B9:F9)</x:f>
        <x:v>17013.773565446132</x:v>
      </x:c>
      <x:c r="H9" s="110" t="n">
        <x:f>RANK(G9,$G$4:$G$10,0)</x:f>
        <x:v>5</x:v>
      </x:c>
    </x:row>
    <x:row r="10">
      <x:c r="A10" s="58" t="str">
        <x:f>'Unit Economics'!A10</x:f>
        <x:v>Producer Store Paid Tier — TBD</x:v>
      </x:c>
      <x:c r="B10" s="62" t="n">
        <x:f>'Unit Economics'!$V10*(1+Assumptions!$B$21)^0/(1+Assumptions!$B$17)^1</x:f>
        <x:v>0</x:v>
      </x:c>
      <x:c r="C10" s="62" t="n">
        <x:f>'Unit Economics'!$V10*(1+Assumptions!$B$21)^1/(1+Assumptions!$B$17)^2</x:f>
        <x:v>0</x:v>
      </x:c>
      <x:c r="D10" s="62" t="n">
        <x:f>'Unit Economics'!$V10*(1+Assumptions!$B$21)^2/(1+Assumptions!$B$17)^3</x:f>
        <x:v>0</x:v>
      </x:c>
      <x:c r="E10" s="62" t="n">
        <x:f>'Unit Economics'!$V10*(1+Assumptions!$B$21)^3/(1+Assumptions!$B$17)^4</x:f>
        <x:v>0</x:v>
      </x:c>
      <x:c r="F10" s="62" t="n">
        <x:f>'Unit Economics'!$V10*(1+Assumptions!$B$21)^4/(1+Assumptions!$B$17)^5</x:f>
        <x:v>0</x:v>
      </x:c>
      <x:c r="G10" s="62" t="n">
        <x:f>SUM(B10:F10)</x:f>
        <x:v>0</x:v>
      </x:c>
      <x:c r="H10" s="110" t="n">
        <x:f>RANK(G10,$G$4:$G$10,0)</x:f>
        <x:v>7</x:v>
      </x:c>
    </x:row>
  </x:sheetData>
  <x:mergeCells>
    <x:mergeCell ref="A1:H1"/>
  </x:mergeCells>
  <x:conditionalFormatting sqref="G4:G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{217AA0CB-716A-FD3B-DD9A-B469AF6834C9}</x14:id>
        </x:ext>
      </x:extLst>
    </x:cfRule>
  </x:conditionalFormatting>
  <x:conditionalFormatting sqref="H4:H10">
    <x:cfRule type="cellIs" dxfId="2" priority="2">
      <x:formula>1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17AA0CB-716A-FD3B-DD9A-B469AF6834C9}">
            <x14:dataBar gradient="1">
              <x14:cfvo type="min"/>
              <x14:cfvo type="max"/>
              <x14:fillColor rgb="FFA02B93"/>
            </x14:dataBar>
          </x14:cfRule>
          <xm:sqref>G4:G10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6" hidden="0" customWidth="1"/>
    <x:col min="4" max="4" width="62" hidden="0" customWidth="1"/>
  </x:cols>
  <x:sheetData>
    <x:row r="1">
      <x:c r="A1" s="40" t="str">
        <x:v>Sources &amp; Model Notes</x:v>
      </x:c>
      <x:c r="B1" s="40"/>
      <x:c r="C1" s="40"/>
      <x:c r="D1" s="40"/>
    </x:row>
    <x:row r="2">
      <x:c r="A2" s="30"/>
      <x:c r="B2" s="30"/>
      <x:c r="C2" s="30"/>
      <x:c r="D2" s="30"/>
    </x:row>
    <x:row r="3">
      <x:c r="A3" s="15" t="str">
        <x:v>Topic</x:v>
      </x:c>
      <x:c r="B3" s="15" t="str">
        <x:v>Source / input</x:v>
      </x:c>
      <x:c r="C3" s="15" t="str">
        <x:v>URL</x:v>
      </x:c>
      <x:c r="D3" s="15" t="str">
        <x:v>How used</x:v>
      </x:c>
    </x:row>
    <x:row r="4">
      <x:c r="A4" s="30" t="str">
        <x:v>Stripe standard card fees</x:v>
      </x:c>
      <x:c r="B4" s="30" t="str">
        <x:v>Stripe pricing — 2.9% + $0.30 domestic cards</x:v>
      </x:c>
      <x:c r="C4" s="30" t="str">
        <x:v>https://stripe.com/pricing</x:v>
      </x:c>
      <x:c r="D4" s="30" t="str">
        <x:v>Default Stripe scenario; editable because actual account-country pricing can differ.</x:v>
      </x:c>
    </x:row>
    <x:row r="5">
      <x:c r="A5" s="30" t="str">
        <x:v>Stripe Germany reference</x:v>
      </x:c>
      <x:c r="B5" s="30" t="str">
        <x:v>Stripe Germany — EEA cards 1.5% + €0.25</x:v>
      </x:c>
      <x:c r="C5" s="30" t="str">
        <x:v>https://stripe.com/de/pricing</x:v>
      </x:c>
      <x:c r="D5" s="30" t="str">
        <x:v>Reference only; shows why Stripe assumptions must match the actual account country/currency.</x:v>
      </x:c>
    </x:row>
    <x:row r="6">
      <x:c r="A6" s="30" t="str">
        <x:v>Paynow merchant fees</x:v>
      </x:c>
      <x:c r="B6" s="30" t="str">
        <x:v>Paynow fees — Visa/Mastercard 3.5% + $0.50; EcoCash/OneMoney/Telecash 2.5%</x:v>
      </x:c>
      <x:c r="C6" s="30" t="str">
        <x:v>https://www.paynow.co.zw/Home/Fees</x:v>
      </x:c>
      <x:c r="D6" s="30" t="str">
        <x:v>Paynow Card and Paynow Mobile fee scenarios.</x:v>
      </x:c>
    </x:row>
    <x:row r="7">
      <x:c r="A7" s="30" t="str">
        <x:v>BVS beat pricing</x:v>
      </x:c>
      <x:c r="B7" s="30" t="str">
        <x:v>Prior BVSRadio plan context: beat listings start at $29</x:v>
      </x:c>
      <x:c r="C7" s="30" t="str"/>
      <x:c r="D7" s="30" t="str">
        <x:v>Seeds Beat Licence price.</x:v>
      </x:c>
    </x:row>
    <x:row r="8">
      <x:c r="A8" s="30" t="str">
        <x:v>BVS artist subscriptions</x:v>
      </x:c>
      <x:c r="B8" s="30" t="str">
        <x:v>Prior BVSRadio plan context: Founding Premium $9/mo or $90/yr; Standard $12/mo or $120/yr</x:v>
      </x:c>
      <x:c r="C8" s="30" t="str"/>
      <x:c r="D8" s="30" t="str">
        <x:v>Seeds direct subscription prices.</x:v>
      </x:c>
    </x:row>
    <x:row r="9">
      <x:c r="A9" s="30" t="str">
        <x:v>Platform fee</x:v>
      </x:c>
      <x:c r="B9" s="30" t="str">
        <x:v>User instruction in this conversation: artist pays 15% platform fee</x:v>
      </x:c>
      <x:c r="C9" s="30" t="str"/>
      <x:c r="D9" s="30" t="str">
        <x:v>Marketplace commission input.</x:v>
      </x:c>
    </x:row>
    <x:row r="10">
      <x:c r="A10" s="30" t="str">
        <x:v>Tax</x:v>
      </x:c>
      <x:c r="B10" s="30" t="str">
        <x:v>No jurisdiction/base supplied</x:v>
      </x:c>
      <x:c r="C10" s="30" t="str"/>
      <x:c r="D10" s="30" t="str">
        <x:v>Artist tax/withholding is a highlighted scenario assumption; BVS tax defaults to 0% to avoid guessing.</x:v>
      </x:c>
    </x:row>
    <x:row r="11">
      <x:c r="A11" s="30" t="str">
        <x:v>Professional audio service</x:v>
      </x:c>
      <x:c r="B11" s="30" t="str">
        <x:v>BVS product category known; price/cost not supplied</x:v>
      </x:c>
      <x:c r="C11" s="30" t="str"/>
      <x:c r="D11" s="30" t="str">
        <x:v>$75 price / $30 variable cost are highlighted placeholders only.</x:v>
      </x:c>
    </x:row>
  </x:sheetData>
  <x:mergeCells>
    <x:mergeCell ref="A1:D1"/>
  </x:mergeCells>
  <x:pageMargins left="0.7" right="0.7" top="0.75" bottom="0.75" header="0.3" footer="0.3"/>
</x:worksheet>
</file>